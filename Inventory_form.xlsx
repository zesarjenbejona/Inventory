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BAM\"/>
    </mc:Choice>
  </mc:AlternateContent>
  <xr:revisionPtr revIDLastSave="0" documentId="13_ncr:1_{5B4CA472-D682-4D92-9761-0144226C501C}" xr6:coauthVersionLast="47" xr6:coauthVersionMax="47" xr10:uidLastSave="{00000000-0000-0000-0000-000000000000}"/>
  <bookViews>
    <workbookView xWindow="-120" yWindow="-120" windowWidth="29040" windowHeight="15840" xr2:uid="{DF2F744A-E7FE-41C8-8E83-ECC0A169E34A}"/>
  </bookViews>
  <sheets>
    <sheet name="Reports" sheetId="2" r:id="rId1"/>
    <sheet name="Pivot" sheetId="4" r:id="rId2"/>
    <sheet name="Records" sheetId="3" r:id="rId3"/>
  </sheets>
  <definedNames>
    <definedName name="ExternalData_1" localSheetId="2" hidden="1">Records!$A$1:$F$10</definedName>
    <definedName name="Slicer_category">#N/A</definedName>
    <definedName name="Slicer_date_added">#N/A</definedName>
    <definedName name="Slicer_product_nam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2" i="4" l="1"/>
  <c r="E99" i="4"/>
  <c r="D82" i="4"/>
  <c r="D6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0ED8B4-264A-4CEC-A483-9708E33A0478}" keepAlive="1" name="Query - inventory" description="Connection to the 'inventory' query in the workbook." type="5" refreshedVersion="8" background="1" saveData="1">
    <dbPr connection="Provider=Microsoft.Mashup.OleDb.1;Data Source=$Workbook$;Location=inventory;Extended Properties=&quot;&quot;" command="SELECT * FROM [inventory]"/>
  </connection>
</connections>
</file>

<file path=xl/sharedStrings.xml><?xml version="1.0" encoding="utf-8"?>
<sst xmlns="http://schemas.openxmlformats.org/spreadsheetml/2006/main" count="91" uniqueCount="27">
  <si>
    <t>id</t>
  </si>
  <si>
    <t>product_name</t>
  </si>
  <si>
    <t>quantity</t>
  </si>
  <si>
    <t>category</t>
  </si>
  <si>
    <t>price</t>
  </si>
  <si>
    <t>date_added</t>
  </si>
  <si>
    <t>Coke Mismo</t>
  </si>
  <si>
    <t>Drinks</t>
  </si>
  <si>
    <t>Pillows - Ube Small</t>
  </si>
  <si>
    <t>Snacks</t>
  </si>
  <si>
    <t>Piattos - Sour Cream</t>
  </si>
  <si>
    <t>Chuckie</t>
  </si>
  <si>
    <t>Gummy Worms</t>
  </si>
  <si>
    <t>Sweets</t>
  </si>
  <si>
    <t>Grand Total</t>
  </si>
  <si>
    <t>Row Labels</t>
  </si>
  <si>
    <t>Sum of quantity</t>
  </si>
  <si>
    <t>Bacon 350g</t>
  </si>
  <si>
    <t>Frozen Goods</t>
  </si>
  <si>
    <t>(All)</t>
  </si>
  <si>
    <t>Yakult</t>
  </si>
  <si>
    <t>Sum of price</t>
  </si>
  <si>
    <t>Total Products</t>
  </si>
  <si>
    <t>Count of product_name</t>
  </si>
  <si>
    <t>Count of category</t>
  </si>
  <si>
    <t>Nova</t>
  </si>
  <si>
    <t>Dutch Mill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</si>
</sst>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0.00"/>
  </numFmts>
  <fonts count="2" x14ac:knownFonts="1">
    <font>
      <sz val="11"/>
      <color theme="1"/>
      <name val="Calibri"/>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0" fontId="0" fillId="0" borderId="0" xfId="0" applyNumberFormat="1"/>
  </cellXfs>
  <cellStyles count="1">
    <cellStyle name="Normal" xfId="0" builtinId="0"/>
  </cellStyles>
  <dxfs count="8">
    <dxf>
      <font>
        <strike val="0"/>
        <outline val="0"/>
        <shadow val="0"/>
        <u val="none"/>
        <vertAlign val="baseline"/>
        <sz val="12"/>
        <color theme="1"/>
        <name val="Arial"/>
        <family val="2"/>
        <scheme val="none"/>
      </font>
      <numFmt numFmtId="19" formatCode="m/d/yyyy"/>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s>
  <tableStyles count="0" defaultTableStyle="TableStyleMedium2" defaultPivotStyle="PivotStyleLight16"/>
  <colors>
    <mruColors>
      <color rgb="FFFFFF9F"/>
      <color rgb="FFFFFFD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[Inventory_form.xlsx]Pivot!InventorybyCategory</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Pivot!$A$4:$A$8</c:f>
              <c:strCache>
                <c:ptCount val="4"/>
                <c:pt idx="0">
                  <c:v>Drinks</c:v>
                </c:pt>
                <c:pt idx="1">
                  <c:v>Snacks</c:v>
                </c:pt>
                <c:pt idx="2">
                  <c:v>Sweets</c:v>
                </c:pt>
                <c:pt idx="3">
                  <c:v>Frozen Goods</c:v>
                </c:pt>
              </c:strCache>
            </c:strRef>
          </c:cat>
          <c:val>
            <c:numRef>
              <c:f>Pivot!$B$4:$B$8</c:f>
              <c:numCache>
                <c:formatCode>General</c:formatCode>
                <c:ptCount val="4"/>
                <c:pt idx="0">
                  <c:v>77</c:v>
                </c:pt>
                <c:pt idx="1">
                  <c:v>45</c:v>
                </c:pt>
                <c:pt idx="2">
                  <c:v>20</c:v>
                </c:pt>
                <c:pt idx="3">
                  <c:v>20</c:v>
                </c:pt>
              </c:numCache>
            </c:numRef>
          </c:val>
          <c:extLst>
            <c:ext xmlns:c16="http://schemas.microsoft.com/office/drawing/2014/chart" uri="{C3380CC4-5D6E-409C-BE32-E72D297353CC}">
              <c16:uniqueId val="{00000000-12A4-46A4-B797-736FE53A3DFB}"/>
            </c:ext>
          </c:extLst>
        </c:ser>
        <c:dLbls>
          <c:dLblPos val="inEnd"/>
          <c:showLegendKey val="0"/>
          <c:showVal val="1"/>
          <c:showCatName val="0"/>
          <c:showSerName val="0"/>
          <c:showPercent val="0"/>
          <c:showBubbleSize val="0"/>
        </c:dLbls>
        <c:gapWidth val="80"/>
        <c:overlap val="25"/>
        <c:axId val="634859823"/>
        <c:axId val="634856943"/>
      </c:barChart>
      <c:catAx>
        <c:axId val="6348598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34856943"/>
        <c:crosses val="autoZero"/>
        <c:auto val="1"/>
        <c:lblAlgn val="ctr"/>
        <c:lblOffset val="100"/>
        <c:noMultiLvlLbl val="0"/>
      </c:catAx>
      <c:valAx>
        <c:axId val="63485694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348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[Inventory_form.xlsx]Pivot!PivotTable3</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Pivot!$A$19:$A$21</c:f>
              <c:strCache>
                <c:ptCount val="2"/>
                <c:pt idx="0">
                  <c:v>12/10/2025</c:v>
                </c:pt>
                <c:pt idx="1">
                  <c:v>12/10/2024</c:v>
                </c:pt>
              </c:strCache>
            </c:strRef>
          </c:cat>
          <c:val>
            <c:numRef>
              <c:f>Pivot!$B$19:$B$21</c:f>
              <c:numCache>
                <c:formatCode>General</c:formatCode>
                <c:ptCount val="2"/>
                <c:pt idx="0">
                  <c:v>82</c:v>
                </c:pt>
                <c:pt idx="1">
                  <c:v>80</c:v>
                </c:pt>
              </c:numCache>
            </c:numRef>
          </c:val>
          <c:smooth val="0"/>
          <c:extLst>
            <c:ext xmlns:c16="http://schemas.microsoft.com/office/drawing/2014/chart" uri="{C3380CC4-5D6E-409C-BE32-E72D297353CC}">
              <c16:uniqueId val="{00000000-D8A4-4836-A660-038B329C3741}"/>
            </c:ext>
          </c:extLst>
        </c:ser>
        <c:dLbls>
          <c:showLegendKey val="0"/>
          <c:showVal val="0"/>
          <c:showCatName val="0"/>
          <c:showSerName val="0"/>
          <c:showPercent val="0"/>
          <c:showBubbleSize val="0"/>
        </c:dLbls>
        <c:marker val="1"/>
        <c:smooth val="0"/>
        <c:axId val="634850223"/>
        <c:axId val="634857903"/>
      </c:lineChart>
      <c:catAx>
        <c:axId val="63485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857903"/>
        <c:crosses val="autoZero"/>
        <c:auto val="1"/>
        <c:lblAlgn val="ctr"/>
        <c:lblOffset val="100"/>
        <c:noMultiLvlLbl val="0"/>
      </c:catAx>
      <c:valAx>
        <c:axId val="63485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85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[Inventory_form.xlsx]Pivot!PivotTable5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10-45F1-95D5-30CCDE95CF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10-45F1-95D5-30CCDE95CF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10-45F1-95D5-30CCDE95CF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10-45F1-95D5-30CCDE95CF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10-45F1-95D5-30CCDE95CF7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10-45F1-95D5-30CCDE95CF7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A10-45F1-95D5-30CCDE95CF7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420-4F70-B9DD-AC7119C0A6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420-4F70-B9DD-AC7119C0A6BD}"/>
              </c:ext>
            </c:extLst>
          </c:dPt>
          <c:cat>
            <c:strRef>
              <c:f>Pivot!$A$35:$A$44</c:f>
              <c:strCache>
                <c:ptCount val="9"/>
                <c:pt idx="0">
                  <c:v>Bacon 350g</c:v>
                </c:pt>
                <c:pt idx="1">
                  <c:v>Chuckie</c:v>
                </c:pt>
                <c:pt idx="2">
                  <c:v>Coke Mismo</c:v>
                </c:pt>
                <c:pt idx="3">
                  <c:v>Gummy Worms</c:v>
                </c:pt>
                <c:pt idx="4">
                  <c:v>Piattos - Sour Cream</c:v>
                </c:pt>
                <c:pt idx="5">
                  <c:v>Pillows - Ube Small</c:v>
                </c:pt>
                <c:pt idx="6">
                  <c:v>Yakult</c:v>
                </c:pt>
                <c:pt idx="7">
                  <c:v>Nova</c:v>
                </c:pt>
                <c:pt idx="8">
                  <c:v>Dutch Mill</c:v>
                </c:pt>
              </c:strCache>
            </c:strRef>
          </c:cat>
          <c:val>
            <c:numRef>
              <c:f>Pivot!$B$35:$B$44</c:f>
              <c:numCache>
                <c:formatCode>General</c:formatCode>
                <c:ptCount val="9"/>
                <c:pt idx="0">
                  <c:v>20</c:v>
                </c:pt>
                <c:pt idx="1">
                  <c:v>20</c:v>
                </c:pt>
                <c:pt idx="2">
                  <c:v>2</c:v>
                </c:pt>
                <c:pt idx="3">
                  <c:v>20</c:v>
                </c:pt>
                <c:pt idx="4">
                  <c:v>10</c:v>
                </c:pt>
                <c:pt idx="5">
                  <c:v>10</c:v>
                </c:pt>
                <c:pt idx="6">
                  <c:v>15</c:v>
                </c:pt>
                <c:pt idx="7">
                  <c:v>25</c:v>
                </c:pt>
                <c:pt idx="8">
                  <c:v>40</c:v>
                </c:pt>
              </c:numCache>
            </c:numRef>
          </c:val>
          <c:extLst>
            <c:ext xmlns:c16="http://schemas.microsoft.com/office/drawing/2014/chart" uri="{C3380CC4-5D6E-409C-BE32-E72D297353CC}">
              <c16:uniqueId val="{0000000E-AA10-45F1-95D5-30CCDE95CF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142876</xdr:colOff>
      <xdr:row>0</xdr:row>
      <xdr:rowOff>1</xdr:rowOff>
    </xdr:from>
    <xdr:to>
      <xdr:col>18</xdr:col>
      <xdr:colOff>447675</xdr:colOff>
      <xdr:row>33</xdr:row>
      <xdr:rowOff>38101</xdr:rowOff>
    </xdr:to>
    <xdr:sp macro="" textlink="">
      <xdr:nvSpPr>
        <xdr:cNvPr id="2" name="Rectangle 1">
          <a:extLst>
            <a:ext uri="{FF2B5EF4-FFF2-40B4-BE49-F238E27FC236}">
              <a16:creationId xmlns:a16="http://schemas.microsoft.com/office/drawing/2014/main" id="{29A2717A-25E5-A048-6C28-9A3DB46454D0}"/>
            </a:ext>
          </a:extLst>
        </xdr:cNvPr>
        <xdr:cNvSpPr/>
      </xdr:nvSpPr>
      <xdr:spPr>
        <a:xfrm>
          <a:off x="142876" y="1"/>
          <a:ext cx="11277599" cy="6324600"/>
        </a:xfrm>
        <a:prstGeom prst="rect">
          <a:avLst/>
        </a:prstGeom>
        <a:solidFill>
          <a:srgbClr val="FFFFD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0</xdr:row>
      <xdr:rowOff>152400</xdr:rowOff>
    </xdr:from>
    <xdr:to>
      <xdr:col>9</xdr:col>
      <xdr:colOff>542925</xdr:colOff>
      <xdr:row>7</xdr:row>
      <xdr:rowOff>152400</xdr:rowOff>
    </xdr:to>
    <xdr:sp macro="" textlink="">
      <xdr:nvSpPr>
        <xdr:cNvPr id="3" name="Rectangle 2">
          <a:extLst>
            <a:ext uri="{FF2B5EF4-FFF2-40B4-BE49-F238E27FC236}">
              <a16:creationId xmlns:a16="http://schemas.microsoft.com/office/drawing/2014/main" id="{4D62D22D-1F62-9026-6363-57EE12EB1A76}"/>
            </a:ext>
          </a:extLst>
        </xdr:cNvPr>
        <xdr:cNvSpPr/>
      </xdr:nvSpPr>
      <xdr:spPr>
        <a:xfrm>
          <a:off x="161925" y="152400"/>
          <a:ext cx="5867400" cy="1333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1</xdr:row>
      <xdr:rowOff>28574</xdr:rowOff>
    </xdr:from>
    <xdr:to>
      <xdr:col>9</xdr:col>
      <xdr:colOff>466725</xdr:colOff>
      <xdr:row>6</xdr:row>
      <xdr:rowOff>152399</xdr:rowOff>
    </xdr:to>
    <xdr:sp macro="" textlink="">
      <xdr:nvSpPr>
        <xdr:cNvPr id="5" name="Rectangle 4">
          <a:extLst>
            <a:ext uri="{FF2B5EF4-FFF2-40B4-BE49-F238E27FC236}">
              <a16:creationId xmlns:a16="http://schemas.microsoft.com/office/drawing/2014/main" id="{109B681E-A1B1-9EF2-AEC8-884E37735159}"/>
            </a:ext>
          </a:extLst>
        </xdr:cNvPr>
        <xdr:cNvSpPr/>
      </xdr:nvSpPr>
      <xdr:spPr>
        <a:xfrm>
          <a:off x="333375" y="219074"/>
          <a:ext cx="5619750" cy="1076325"/>
        </a:xfrm>
        <a:prstGeom prst="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tx1"/>
              </a:solidFill>
              <a:latin typeface="Arial" panose="020B0604020202020204" pitchFamily="34" charset="0"/>
              <a:cs typeface="Arial" panose="020B0604020202020204" pitchFamily="34" charset="0"/>
            </a:rPr>
            <a:t>RECORD</a:t>
          </a:r>
          <a:r>
            <a:rPr lang="en-US" sz="4400" b="1" baseline="0">
              <a:solidFill>
                <a:schemeClr val="tx1"/>
              </a:solidFill>
              <a:latin typeface="Arial" panose="020B0604020202020204" pitchFamily="34" charset="0"/>
              <a:cs typeface="Arial" panose="020B0604020202020204" pitchFamily="34" charset="0"/>
            </a:rPr>
            <a:t> REPORTS</a:t>
          </a:r>
          <a:endParaRPr lang="en-US" sz="44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495300</xdr:colOff>
      <xdr:row>8</xdr:row>
      <xdr:rowOff>52388</xdr:rowOff>
    </xdr:from>
    <xdr:to>
      <xdr:col>4</xdr:col>
      <xdr:colOff>447675</xdr:colOff>
      <xdr:row>15</xdr:row>
      <xdr:rowOff>119063</xdr:rowOff>
    </xdr:to>
    <xdr:sp macro="" textlink="">
      <xdr:nvSpPr>
        <xdr:cNvPr id="6" name="Rectangle: Rounded Corners 5">
          <a:extLst>
            <a:ext uri="{FF2B5EF4-FFF2-40B4-BE49-F238E27FC236}">
              <a16:creationId xmlns:a16="http://schemas.microsoft.com/office/drawing/2014/main" id="{E83BDFD3-FE70-43EB-EE16-277B4744EE11}"/>
            </a:ext>
          </a:extLst>
        </xdr:cNvPr>
        <xdr:cNvSpPr/>
      </xdr:nvSpPr>
      <xdr:spPr>
        <a:xfrm>
          <a:off x="495300" y="1576388"/>
          <a:ext cx="2390775" cy="14001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530225</xdr:colOff>
      <xdr:row>8</xdr:row>
      <xdr:rowOff>52388</xdr:rowOff>
    </xdr:from>
    <xdr:to>
      <xdr:col>8</xdr:col>
      <xdr:colOff>482600</xdr:colOff>
      <xdr:row>15</xdr:row>
      <xdr:rowOff>119063</xdr:rowOff>
    </xdr:to>
    <xdr:sp macro="" textlink="">
      <xdr:nvSpPr>
        <xdr:cNvPr id="7" name="Rectangle: Rounded Corners 6">
          <a:extLst>
            <a:ext uri="{FF2B5EF4-FFF2-40B4-BE49-F238E27FC236}">
              <a16:creationId xmlns:a16="http://schemas.microsoft.com/office/drawing/2014/main" id="{01834B6D-BD7E-BE91-2B0C-63C2FB42B3A1}"/>
            </a:ext>
          </a:extLst>
        </xdr:cNvPr>
        <xdr:cNvSpPr/>
      </xdr:nvSpPr>
      <xdr:spPr>
        <a:xfrm>
          <a:off x="2968625" y="1576388"/>
          <a:ext cx="2390775" cy="14001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565150</xdr:colOff>
      <xdr:row>8</xdr:row>
      <xdr:rowOff>52388</xdr:rowOff>
    </xdr:from>
    <xdr:to>
      <xdr:col>12</xdr:col>
      <xdr:colOff>517525</xdr:colOff>
      <xdr:row>15</xdr:row>
      <xdr:rowOff>119063</xdr:rowOff>
    </xdr:to>
    <xdr:sp macro="" textlink="">
      <xdr:nvSpPr>
        <xdr:cNvPr id="9" name="Rectangle: Rounded Corners 8">
          <a:extLst>
            <a:ext uri="{FF2B5EF4-FFF2-40B4-BE49-F238E27FC236}">
              <a16:creationId xmlns:a16="http://schemas.microsoft.com/office/drawing/2014/main" id="{52E577F1-0EF5-49C6-BD39-533BA55A9D71}"/>
            </a:ext>
          </a:extLst>
        </xdr:cNvPr>
        <xdr:cNvSpPr/>
      </xdr:nvSpPr>
      <xdr:spPr>
        <a:xfrm>
          <a:off x="5441950" y="1576388"/>
          <a:ext cx="2390775" cy="14001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600074</xdr:colOff>
      <xdr:row>8</xdr:row>
      <xdr:rowOff>180975</xdr:rowOff>
    </xdr:from>
    <xdr:to>
      <xdr:col>4</xdr:col>
      <xdr:colOff>285749</xdr:colOff>
      <xdr:row>10</xdr:row>
      <xdr:rowOff>142875</xdr:rowOff>
    </xdr:to>
    <xdr:sp macro="" textlink="">
      <xdr:nvSpPr>
        <xdr:cNvPr id="11" name="TextBox 10">
          <a:extLst>
            <a:ext uri="{FF2B5EF4-FFF2-40B4-BE49-F238E27FC236}">
              <a16:creationId xmlns:a16="http://schemas.microsoft.com/office/drawing/2014/main" id="{7685DE85-6247-A1B4-2951-7D8CA5219688}"/>
            </a:ext>
          </a:extLst>
        </xdr:cNvPr>
        <xdr:cNvSpPr txBox="1"/>
      </xdr:nvSpPr>
      <xdr:spPr>
        <a:xfrm>
          <a:off x="600074" y="1704975"/>
          <a:ext cx="21240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TOTAL</a:t>
          </a:r>
          <a:r>
            <a:rPr lang="en-US" sz="1600" b="1" baseline="0">
              <a:latin typeface="Arial" panose="020B0604020202020204" pitchFamily="34" charset="0"/>
              <a:cs typeface="Arial" panose="020B0604020202020204" pitchFamily="34" charset="0"/>
            </a:rPr>
            <a:t> PRODUCTS</a:t>
          </a:r>
          <a:endParaRPr lang="en-US" sz="1600" b="1">
            <a:latin typeface="Arial" panose="020B0604020202020204" pitchFamily="34" charset="0"/>
            <a:cs typeface="Arial" panose="020B0604020202020204" pitchFamily="34" charset="0"/>
          </a:endParaRPr>
        </a:p>
      </xdr:txBody>
    </xdr:sp>
    <xdr:clientData/>
  </xdr:twoCellAnchor>
  <xdr:twoCellAnchor>
    <xdr:from>
      <xdr:col>12</xdr:col>
      <xdr:colOff>600075</xdr:colOff>
      <xdr:row>8</xdr:row>
      <xdr:rowOff>52388</xdr:rowOff>
    </xdr:from>
    <xdr:to>
      <xdr:col>16</xdr:col>
      <xdr:colOff>552450</xdr:colOff>
      <xdr:row>15</xdr:row>
      <xdr:rowOff>119063</xdr:rowOff>
    </xdr:to>
    <xdr:sp macro="" textlink="">
      <xdr:nvSpPr>
        <xdr:cNvPr id="14" name="Rectangle: Rounded Corners 13">
          <a:extLst>
            <a:ext uri="{FF2B5EF4-FFF2-40B4-BE49-F238E27FC236}">
              <a16:creationId xmlns:a16="http://schemas.microsoft.com/office/drawing/2014/main" id="{96A93E05-3914-3512-5046-917ECE7637AE}"/>
            </a:ext>
          </a:extLst>
        </xdr:cNvPr>
        <xdr:cNvSpPr/>
      </xdr:nvSpPr>
      <xdr:spPr>
        <a:xfrm>
          <a:off x="7915275" y="1576388"/>
          <a:ext cx="2390775" cy="14001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523875</xdr:colOff>
      <xdr:row>8</xdr:row>
      <xdr:rowOff>52388</xdr:rowOff>
    </xdr:from>
    <xdr:to>
      <xdr:col>8</xdr:col>
      <xdr:colOff>476250</xdr:colOff>
      <xdr:row>15</xdr:row>
      <xdr:rowOff>119063</xdr:rowOff>
    </xdr:to>
    <xdr:sp macro="" textlink="">
      <xdr:nvSpPr>
        <xdr:cNvPr id="16" name="Rectangle: Rounded Corners 15">
          <a:extLst>
            <a:ext uri="{FF2B5EF4-FFF2-40B4-BE49-F238E27FC236}">
              <a16:creationId xmlns:a16="http://schemas.microsoft.com/office/drawing/2014/main" id="{91FB3E1F-8ED5-01D8-8438-2FBF8C71C8D3}"/>
            </a:ext>
          </a:extLst>
        </xdr:cNvPr>
        <xdr:cNvSpPr/>
      </xdr:nvSpPr>
      <xdr:spPr>
        <a:xfrm>
          <a:off x="2962275" y="1576388"/>
          <a:ext cx="2390775" cy="14001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19049</xdr:colOff>
      <xdr:row>8</xdr:row>
      <xdr:rowOff>180975</xdr:rowOff>
    </xdr:from>
    <xdr:to>
      <xdr:col>8</xdr:col>
      <xdr:colOff>314324</xdr:colOff>
      <xdr:row>10</xdr:row>
      <xdr:rowOff>142875</xdr:rowOff>
    </xdr:to>
    <xdr:sp macro="" textlink="">
      <xdr:nvSpPr>
        <xdr:cNvPr id="17" name="TextBox 16">
          <a:extLst>
            <a:ext uri="{FF2B5EF4-FFF2-40B4-BE49-F238E27FC236}">
              <a16:creationId xmlns:a16="http://schemas.microsoft.com/office/drawing/2014/main" id="{2952BC39-6DE9-E821-BCBA-7A4379AEFDB7}"/>
            </a:ext>
          </a:extLst>
        </xdr:cNvPr>
        <xdr:cNvSpPr txBox="1"/>
      </xdr:nvSpPr>
      <xdr:spPr>
        <a:xfrm>
          <a:off x="3067049" y="1704975"/>
          <a:ext cx="21240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TOTAL</a:t>
          </a:r>
          <a:r>
            <a:rPr lang="en-US" sz="1600" b="1" baseline="0">
              <a:latin typeface="Arial" panose="020B0604020202020204" pitchFamily="34" charset="0"/>
              <a:cs typeface="Arial" panose="020B0604020202020204" pitchFamily="34" charset="0"/>
            </a:rPr>
            <a:t> QUANTITY</a:t>
          </a:r>
          <a:endParaRPr lang="en-US" sz="1600" b="1">
            <a:latin typeface="Arial" panose="020B0604020202020204" pitchFamily="34" charset="0"/>
            <a:cs typeface="Arial" panose="020B0604020202020204" pitchFamily="34" charset="0"/>
          </a:endParaRPr>
        </a:p>
      </xdr:txBody>
    </xdr:sp>
    <xdr:clientData/>
  </xdr:twoCellAnchor>
  <xdr:twoCellAnchor>
    <xdr:from>
      <xdr:col>8</xdr:col>
      <xdr:colOff>590550</xdr:colOff>
      <xdr:row>8</xdr:row>
      <xdr:rowOff>52388</xdr:rowOff>
    </xdr:from>
    <xdr:to>
      <xdr:col>12</xdr:col>
      <xdr:colOff>542925</xdr:colOff>
      <xdr:row>15</xdr:row>
      <xdr:rowOff>119063</xdr:rowOff>
    </xdr:to>
    <xdr:sp macro="" textlink="">
      <xdr:nvSpPr>
        <xdr:cNvPr id="18" name="Rectangle: Rounded Corners 17">
          <a:extLst>
            <a:ext uri="{FF2B5EF4-FFF2-40B4-BE49-F238E27FC236}">
              <a16:creationId xmlns:a16="http://schemas.microsoft.com/office/drawing/2014/main" id="{32C9931B-FA1C-3330-7884-C62482FBB9EE}"/>
            </a:ext>
          </a:extLst>
        </xdr:cNvPr>
        <xdr:cNvSpPr/>
      </xdr:nvSpPr>
      <xdr:spPr>
        <a:xfrm>
          <a:off x="5467350" y="1576388"/>
          <a:ext cx="2390775" cy="14001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85724</xdr:colOff>
      <xdr:row>8</xdr:row>
      <xdr:rowOff>104775</xdr:rowOff>
    </xdr:from>
    <xdr:to>
      <xdr:col>12</xdr:col>
      <xdr:colOff>380999</xdr:colOff>
      <xdr:row>11</xdr:row>
      <xdr:rowOff>66675</xdr:rowOff>
    </xdr:to>
    <xdr:sp macro="" textlink="">
      <xdr:nvSpPr>
        <xdr:cNvPr id="19" name="TextBox 18">
          <a:extLst>
            <a:ext uri="{FF2B5EF4-FFF2-40B4-BE49-F238E27FC236}">
              <a16:creationId xmlns:a16="http://schemas.microsoft.com/office/drawing/2014/main" id="{A9FC4C0D-1356-24B9-45A5-B8A420ECD4E4}"/>
            </a:ext>
          </a:extLst>
        </xdr:cNvPr>
        <xdr:cNvSpPr txBox="1"/>
      </xdr:nvSpPr>
      <xdr:spPr>
        <a:xfrm>
          <a:off x="5572124" y="1628775"/>
          <a:ext cx="21240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TOTAL</a:t>
          </a:r>
          <a:r>
            <a:rPr lang="en-US" sz="1200" b="1" baseline="0">
              <a:latin typeface="Arial" panose="020B0604020202020204" pitchFamily="34" charset="0"/>
              <a:cs typeface="Arial" panose="020B0604020202020204" pitchFamily="34" charset="0"/>
            </a:rPr>
            <a:t> INVENTORY</a:t>
          </a:r>
        </a:p>
        <a:p>
          <a:pPr algn="ctr"/>
          <a:r>
            <a:rPr lang="en-US" sz="1200" b="1" baseline="0">
              <a:latin typeface="Arial" panose="020B0604020202020204" pitchFamily="34" charset="0"/>
              <a:cs typeface="Arial" panose="020B0604020202020204" pitchFamily="34" charset="0"/>
            </a:rPr>
            <a:t>VALUE</a:t>
          </a:r>
          <a:endParaRPr lang="en-US" sz="1200" b="1">
            <a:latin typeface="Arial" panose="020B0604020202020204" pitchFamily="34" charset="0"/>
            <a:cs typeface="Arial" panose="020B0604020202020204" pitchFamily="34" charset="0"/>
          </a:endParaRPr>
        </a:p>
      </xdr:txBody>
    </xdr:sp>
    <xdr:clientData/>
  </xdr:twoCellAnchor>
  <xdr:twoCellAnchor>
    <xdr:from>
      <xdr:col>13</xdr:col>
      <xdr:colOff>9524</xdr:colOff>
      <xdr:row>8</xdr:row>
      <xdr:rowOff>133350</xdr:rowOff>
    </xdr:from>
    <xdr:to>
      <xdr:col>16</xdr:col>
      <xdr:colOff>590550</xdr:colOff>
      <xdr:row>10</xdr:row>
      <xdr:rowOff>95250</xdr:rowOff>
    </xdr:to>
    <xdr:sp macro="" textlink="">
      <xdr:nvSpPr>
        <xdr:cNvPr id="20" name="TextBox 19">
          <a:extLst>
            <a:ext uri="{FF2B5EF4-FFF2-40B4-BE49-F238E27FC236}">
              <a16:creationId xmlns:a16="http://schemas.microsoft.com/office/drawing/2014/main" id="{8D404705-63C7-192D-1BAC-0E1F52B603BC}"/>
            </a:ext>
          </a:extLst>
        </xdr:cNvPr>
        <xdr:cNvSpPr txBox="1"/>
      </xdr:nvSpPr>
      <xdr:spPr>
        <a:xfrm>
          <a:off x="7934324" y="1657350"/>
          <a:ext cx="24098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TOTAL</a:t>
          </a:r>
          <a:r>
            <a:rPr lang="en-US" sz="1600" b="1" baseline="0">
              <a:latin typeface="Arial" panose="020B0604020202020204" pitchFamily="34" charset="0"/>
              <a:cs typeface="Arial" panose="020B0604020202020204" pitchFamily="34" charset="0"/>
            </a:rPr>
            <a:t> CATEGORIES</a:t>
          </a:r>
        </a:p>
      </xdr:txBody>
    </xdr:sp>
    <xdr:clientData/>
  </xdr:twoCellAnchor>
  <xdr:twoCellAnchor>
    <xdr:from>
      <xdr:col>1</xdr:col>
      <xdr:colOff>476250</xdr:colOff>
      <xdr:row>11</xdr:row>
      <xdr:rowOff>95250</xdr:rowOff>
    </xdr:from>
    <xdr:to>
      <xdr:col>3</xdr:col>
      <xdr:colOff>438150</xdr:colOff>
      <xdr:row>14</xdr:row>
      <xdr:rowOff>47625</xdr:rowOff>
    </xdr:to>
    <xdr:sp macro="" textlink="Pivot!D62">
      <xdr:nvSpPr>
        <xdr:cNvPr id="21" name="TextBox 20">
          <a:extLst>
            <a:ext uri="{FF2B5EF4-FFF2-40B4-BE49-F238E27FC236}">
              <a16:creationId xmlns:a16="http://schemas.microsoft.com/office/drawing/2014/main" id="{2CE01ED2-5EE9-AF2D-DAD0-560387C4D7CB}"/>
            </a:ext>
          </a:extLst>
        </xdr:cNvPr>
        <xdr:cNvSpPr txBox="1"/>
      </xdr:nvSpPr>
      <xdr:spPr>
        <a:xfrm>
          <a:off x="1085850" y="2190750"/>
          <a:ext cx="118110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65993E-62FA-424D-A626-CF77ACC81FCF}" type="TxLink">
            <a:rPr lang="en-US" sz="4800" b="1" i="0" u="none" strike="noStrike">
              <a:solidFill>
                <a:srgbClr val="000000"/>
              </a:solidFill>
              <a:latin typeface="Arial" panose="020B0604020202020204" pitchFamily="34" charset="0"/>
              <a:cs typeface="Arial" panose="020B0604020202020204" pitchFamily="34" charset="0"/>
            </a:rPr>
            <a:pPr algn="ctr"/>
            <a:t>9</a:t>
          </a:fld>
          <a:endParaRPr lang="en-US" sz="4800" b="1">
            <a:latin typeface="Arial" panose="020B0604020202020204" pitchFamily="34" charset="0"/>
            <a:cs typeface="Arial" panose="020B0604020202020204" pitchFamily="34" charset="0"/>
          </a:endParaRPr>
        </a:p>
      </xdr:txBody>
    </xdr:sp>
    <xdr:clientData/>
  </xdr:twoCellAnchor>
  <xdr:twoCellAnchor>
    <xdr:from>
      <xdr:col>5</xdr:col>
      <xdr:colOff>523875</xdr:colOff>
      <xdr:row>11</xdr:row>
      <xdr:rowOff>95250</xdr:rowOff>
    </xdr:from>
    <xdr:to>
      <xdr:col>7</xdr:col>
      <xdr:colOff>485775</xdr:colOff>
      <xdr:row>14</xdr:row>
      <xdr:rowOff>47625</xdr:rowOff>
    </xdr:to>
    <xdr:sp macro="" textlink="Pivot!D82">
      <xdr:nvSpPr>
        <xdr:cNvPr id="22" name="TextBox 21">
          <a:extLst>
            <a:ext uri="{FF2B5EF4-FFF2-40B4-BE49-F238E27FC236}">
              <a16:creationId xmlns:a16="http://schemas.microsoft.com/office/drawing/2014/main" id="{78439F29-C467-775C-3D92-6512A6071B21}"/>
            </a:ext>
          </a:extLst>
        </xdr:cNvPr>
        <xdr:cNvSpPr txBox="1"/>
      </xdr:nvSpPr>
      <xdr:spPr>
        <a:xfrm>
          <a:off x="3571875" y="2190750"/>
          <a:ext cx="118110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720A1B-50A8-48C2-A4A6-C0C341AA42DE}" type="TxLink">
            <a:rPr lang="en-US" sz="4800" b="1" i="0" u="none" strike="noStrike">
              <a:solidFill>
                <a:srgbClr val="000000"/>
              </a:solidFill>
              <a:latin typeface="Arial" panose="020B0604020202020204" pitchFamily="34" charset="0"/>
              <a:cs typeface="Arial" panose="020B0604020202020204" pitchFamily="34" charset="0"/>
            </a:rPr>
            <a:pPr algn="ctr"/>
            <a:t>162</a:t>
          </a:fld>
          <a:endParaRPr lang="en-US" sz="4800" b="1" i="0" u="none" strike="noStrike">
            <a:solidFill>
              <a:srgbClr val="000000"/>
            </a:solidFill>
            <a:latin typeface="Arial" panose="020B0604020202020204" pitchFamily="34" charset="0"/>
            <a:cs typeface="Arial" panose="020B0604020202020204" pitchFamily="34" charset="0"/>
          </a:endParaRPr>
        </a:p>
      </xdr:txBody>
    </xdr:sp>
    <xdr:clientData/>
  </xdr:twoCellAnchor>
  <xdr:twoCellAnchor>
    <xdr:from>
      <xdr:col>9</xdr:col>
      <xdr:colOff>380999</xdr:colOff>
      <xdr:row>11</xdr:row>
      <xdr:rowOff>1</xdr:rowOff>
    </xdr:from>
    <xdr:to>
      <xdr:col>12</xdr:col>
      <xdr:colOff>104774</xdr:colOff>
      <xdr:row>14</xdr:row>
      <xdr:rowOff>133351</xdr:rowOff>
    </xdr:to>
    <xdr:sp macro="" textlink="Pivot!E99">
      <xdr:nvSpPr>
        <xdr:cNvPr id="23" name="TextBox 22">
          <a:extLst>
            <a:ext uri="{FF2B5EF4-FFF2-40B4-BE49-F238E27FC236}">
              <a16:creationId xmlns:a16="http://schemas.microsoft.com/office/drawing/2014/main" id="{16C723A2-BC7E-261C-CBA7-EEBD2505131F}"/>
            </a:ext>
          </a:extLst>
        </xdr:cNvPr>
        <xdr:cNvSpPr txBox="1"/>
      </xdr:nvSpPr>
      <xdr:spPr>
        <a:xfrm>
          <a:off x="5867399" y="2095501"/>
          <a:ext cx="1552575"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41A830-1962-4B7F-8282-2D50A16118C8}" type="TxLink">
            <a:rPr lang="en-US" sz="2000" b="1" i="0" u="none" strike="noStrike">
              <a:solidFill>
                <a:srgbClr val="000000"/>
              </a:solidFill>
              <a:latin typeface="Arial" panose="020B0604020202020204" pitchFamily="34" charset="0"/>
              <a:cs typeface="Arial" panose="020B0604020202020204" pitchFamily="34" charset="0"/>
            </a:rPr>
            <a:pPr algn="ctr"/>
            <a:t>₱84,078.00</a:t>
          </a:fld>
          <a:endParaRPr lang="en-US" sz="2000" b="1">
            <a:latin typeface="Arial" panose="020B0604020202020204" pitchFamily="34" charset="0"/>
            <a:cs typeface="Arial" panose="020B0604020202020204" pitchFamily="34" charset="0"/>
          </a:endParaRPr>
        </a:p>
      </xdr:txBody>
    </xdr:sp>
    <xdr:clientData/>
  </xdr:twoCellAnchor>
  <xdr:twoCellAnchor>
    <xdr:from>
      <xdr:col>13</xdr:col>
      <xdr:colOff>590550</xdr:colOff>
      <xdr:row>11</xdr:row>
      <xdr:rowOff>95250</xdr:rowOff>
    </xdr:from>
    <xdr:to>
      <xdr:col>15</xdr:col>
      <xdr:colOff>552450</xdr:colOff>
      <xdr:row>14</xdr:row>
      <xdr:rowOff>47625</xdr:rowOff>
    </xdr:to>
    <xdr:sp macro="" textlink="Pivot!E112">
      <xdr:nvSpPr>
        <xdr:cNvPr id="24" name="TextBox 23">
          <a:extLst>
            <a:ext uri="{FF2B5EF4-FFF2-40B4-BE49-F238E27FC236}">
              <a16:creationId xmlns:a16="http://schemas.microsoft.com/office/drawing/2014/main" id="{E782913D-6408-6FB4-2714-1A3AB8DB5070}"/>
            </a:ext>
          </a:extLst>
        </xdr:cNvPr>
        <xdr:cNvSpPr txBox="1"/>
      </xdr:nvSpPr>
      <xdr:spPr>
        <a:xfrm>
          <a:off x="8515350" y="2190750"/>
          <a:ext cx="118110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15143F-640D-4202-BA1F-8962126385F3}" type="TxLink">
            <a:rPr lang="en-US" sz="4800" b="1" i="0" u="none" strike="noStrike">
              <a:solidFill>
                <a:srgbClr val="000000"/>
              </a:solidFill>
              <a:latin typeface="Arial" panose="020B0604020202020204" pitchFamily="34" charset="0"/>
              <a:cs typeface="Arial" panose="020B0604020202020204" pitchFamily="34" charset="0"/>
            </a:rPr>
            <a:pPr algn="ctr"/>
            <a:t>4</a:t>
          </a:fld>
          <a:endParaRPr lang="en-US" sz="4800" b="1">
            <a:latin typeface="Arial" panose="020B0604020202020204" pitchFamily="34" charset="0"/>
            <a:cs typeface="Arial" panose="020B0604020202020204" pitchFamily="34" charset="0"/>
          </a:endParaRPr>
        </a:p>
      </xdr:txBody>
    </xdr:sp>
    <xdr:clientData/>
  </xdr:twoCellAnchor>
  <xdr:twoCellAnchor editAs="oneCell">
    <xdr:from>
      <xdr:col>10</xdr:col>
      <xdr:colOff>85726</xdr:colOff>
      <xdr:row>1</xdr:row>
      <xdr:rowOff>28575</xdr:rowOff>
    </xdr:from>
    <xdr:to>
      <xdr:col>12</xdr:col>
      <xdr:colOff>514350</xdr:colOff>
      <xdr:row>6</xdr:row>
      <xdr:rowOff>180975</xdr:rowOff>
    </xdr:to>
    <mc:AlternateContent xmlns:mc="http://schemas.openxmlformats.org/markup-compatibility/2006" xmlns:a14="http://schemas.microsoft.com/office/drawing/2010/main">
      <mc:Choice Requires="a14">
        <xdr:graphicFrame macro="">
          <xdr:nvGraphicFramePr>
            <xdr:cNvPr id="25" name="product_name">
              <a:extLst>
                <a:ext uri="{FF2B5EF4-FFF2-40B4-BE49-F238E27FC236}">
                  <a16:creationId xmlns:a16="http://schemas.microsoft.com/office/drawing/2014/main" id="{2583F155-CEE7-48CE-A5C2-97CF25E970D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6181726" y="219075"/>
              <a:ext cx="1647824"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571501</xdr:colOff>
      <xdr:row>1</xdr:row>
      <xdr:rowOff>28576</xdr:rowOff>
    </xdr:from>
    <xdr:to>
      <xdr:col>15</xdr:col>
      <xdr:colOff>419100</xdr:colOff>
      <xdr:row>6</xdr:row>
      <xdr:rowOff>161926</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7A98D905-BCD5-4FEF-B471-D8334C5F9D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86701" y="219076"/>
              <a:ext cx="1676399"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361950</xdr:colOff>
      <xdr:row>18</xdr:row>
      <xdr:rowOff>171450</xdr:rowOff>
    </xdr:from>
    <xdr:to>
      <xdr:col>6</xdr:col>
      <xdr:colOff>28575</xdr:colOff>
      <xdr:row>29</xdr:row>
      <xdr:rowOff>161925</xdr:rowOff>
    </xdr:to>
    <xdr:sp macro="" textlink="">
      <xdr:nvSpPr>
        <xdr:cNvPr id="30" name="Rectangle: Rounded Corners 29">
          <a:extLst>
            <a:ext uri="{FF2B5EF4-FFF2-40B4-BE49-F238E27FC236}">
              <a16:creationId xmlns:a16="http://schemas.microsoft.com/office/drawing/2014/main" id="{BE18E43B-02EF-B201-0CE3-9D8DA9D842C4}"/>
            </a:ext>
          </a:extLst>
        </xdr:cNvPr>
        <xdr:cNvSpPr/>
      </xdr:nvSpPr>
      <xdr:spPr>
        <a:xfrm>
          <a:off x="361950" y="3600450"/>
          <a:ext cx="3324225" cy="20859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19</xdr:row>
      <xdr:rowOff>28575</xdr:rowOff>
    </xdr:from>
    <xdr:to>
      <xdr:col>5</xdr:col>
      <xdr:colOff>590550</xdr:colOff>
      <xdr:row>29</xdr:row>
      <xdr:rowOff>180975</xdr:rowOff>
    </xdr:to>
    <xdr:graphicFrame macro="">
      <xdr:nvGraphicFramePr>
        <xdr:cNvPr id="28" name="Chart 27">
          <a:extLst>
            <a:ext uri="{FF2B5EF4-FFF2-40B4-BE49-F238E27FC236}">
              <a16:creationId xmlns:a16="http://schemas.microsoft.com/office/drawing/2014/main" id="{FA9978EB-3AB1-4573-B40F-B9B0FBE1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18</xdr:row>
      <xdr:rowOff>171450</xdr:rowOff>
    </xdr:from>
    <xdr:to>
      <xdr:col>11</xdr:col>
      <xdr:colOff>552450</xdr:colOff>
      <xdr:row>29</xdr:row>
      <xdr:rowOff>161925</xdr:rowOff>
    </xdr:to>
    <xdr:sp macro="" textlink="">
      <xdr:nvSpPr>
        <xdr:cNvPr id="33" name="Rectangle: Rounded Corners 32">
          <a:extLst>
            <a:ext uri="{FF2B5EF4-FFF2-40B4-BE49-F238E27FC236}">
              <a16:creationId xmlns:a16="http://schemas.microsoft.com/office/drawing/2014/main" id="{EC48658C-323A-0141-52BC-AE1AAB52E435}"/>
            </a:ext>
          </a:extLst>
        </xdr:cNvPr>
        <xdr:cNvSpPr/>
      </xdr:nvSpPr>
      <xdr:spPr>
        <a:xfrm>
          <a:off x="3933825" y="3600450"/>
          <a:ext cx="3324225" cy="20859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228600</xdr:colOff>
      <xdr:row>18</xdr:row>
      <xdr:rowOff>171450</xdr:rowOff>
    </xdr:from>
    <xdr:to>
      <xdr:col>17</xdr:col>
      <xdr:colOff>504825</xdr:colOff>
      <xdr:row>29</xdr:row>
      <xdr:rowOff>161925</xdr:rowOff>
    </xdr:to>
    <xdr:sp macro="" textlink="">
      <xdr:nvSpPr>
        <xdr:cNvPr id="34" name="Rectangle: Rounded Corners 33">
          <a:extLst>
            <a:ext uri="{FF2B5EF4-FFF2-40B4-BE49-F238E27FC236}">
              <a16:creationId xmlns:a16="http://schemas.microsoft.com/office/drawing/2014/main" id="{8860DA54-9347-019C-DC31-FE97F647C531}"/>
            </a:ext>
          </a:extLst>
        </xdr:cNvPr>
        <xdr:cNvSpPr/>
      </xdr:nvSpPr>
      <xdr:spPr>
        <a:xfrm>
          <a:off x="7543800" y="3600450"/>
          <a:ext cx="3324225" cy="2085975"/>
        </a:xfrm>
        <a:prstGeom prst="roundRect">
          <a:avLst/>
        </a:prstGeom>
        <a:solidFill>
          <a:srgbClr val="FFF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552450</xdr:colOff>
      <xdr:row>16</xdr:row>
      <xdr:rowOff>152400</xdr:rowOff>
    </xdr:from>
    <xdr:to>
      <xdr:col>5</xdr:col>
      <xdr:colOff>361950</xdr:colOff>
      <xdr:row>18</xdr:row>
      <xdr:rowOff>152400</xdr:rowOff>
    </xdr:to>
    <xdr:sp macro="" textlink="">
      <xdr:nvSpPr>
        <xdr:cNvPr id="35" name="TextBox 34">
          <a:extLst>
            <a:ext uri="{FF2B5EF4-FFF2-40B4-BE49-F238E27FC236}">
              <a16:creationId xmlns:a16="http://schemas.microsoft.com/office/drawing/2014/main" id="{EB4CC6FB-6319-8691-2F1B-9C20EF5FEDBF}"/>
            </a:ext>
          </a:extLst>
        </xdr:cNvPr>
        <xdr:cNvSpPr txBox="1"/>
      </xdr:nvSpPr>
      <xdr:spPr>
        <a:xfrm>
          <a:off x="552450" y="3200400"/>
          <a:ext cx="2857500" cy="3810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Inventory by Category</a:t>
          </a:r>
        </a:p>
      </xdr:txBody>
    </xdr:sp>
    <xdr:clientData/>
  </xdr:twoCellAnchor>
  <xdr:twoCellAnchor>
    <xdr:from>
      <xdr:col>6</xdr:col>
      <xdr:colOff>438150</xdr:colOff>
      <xdr:row>16</xdr:row>
      <xdr:rowOff>152400</xdr:rowOff>
    </xdr:from>
    <xdr:to>
      <xdr:col>11</xdr:col>
      <xdr:colOff>247650</xdr:colOff>
      <xdr:row>18</xdr:row>
      <xdr:rowOff>152400</xdr:rowOff>
    </xdr:to>
    <xdr:sp macro="" textlink="">
      <xdr:nvSpPr>
        <xdr:cNvPr id="36" name="TextBox 35">
          <a:extLst>
            <a:ext uri="{FF2B5EF4-FFF2-40B4-BE49-F238E27FC236}">
              <a16:creationId xmlns:a16="http://schemas.microsoft.com/office/drawing/2014/main" id="{066ED1B2-C402-B686-B223-741B4F756ED6}"/>
            </a:ext>
          </a:extLst>
        </xdr:cNvPr>
        <xdr:cNvSpPr txBox="1"/>
      </xdr:nvSpPr>
      <xdr:spPr>
        <a:xfrm>
          <a:off x="4095750" y="3200400"/>
          <a:ext cx="2857500" cy="3810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Stock Trend</a:t>
          </a:r>
          <a:r>
            <a:rPr lang="en-US" sz="1600" b="1" baseline="0">
              <a:latin typeface="Arial" panose="020B0604020202020204" pitchFamily="34" charset="0"/>
              <a:cs typeface="Arial" panose="020B0604020202020204" pitchFamily="34" charset="0"/>
            </a:rPr>
            <a:t> Over Time</a:t>
          </a:r>
          <a:endParaRPr lang="en-US" sz="1600" b="1">
            <a:latin typeface="Arial" panose="020B0604020202020204" pitchFamily="34" charset="0"/>
            <a:cs typeface="Arial" panose="020B0604020202020204" pitchFamily="34" charset="0"/>
          </a:endParaRPr>
        </a:p>
      </xdr:txBody>
    </xdr:sp>
    <xdr:clientData/>
  </xdr:twoCellAnchor>
  <xdr:twoCellAnchor>
    <xdr:from>
      <xdr:col>6</xdr:col>
      <xdr:colOff>361951</xdr:colOff>
      <xdr:row>19</xdr:row>
      <xdr:rowOff>47626</xdr:rowOff>
    </xdr:from>
    <xdr:to>
      <xdr:col>11</xdr:col>
      <xdr:colOff>476251</xdr:colOff>
      <xdr:row>29</xdr:row>
      <xdr:rowOff>161926</xdr:rowOff>
    </xdr:to>
    <xdr:graphicFrame macro="">
      <xdr:nvGraphicFramePr>
        <xdr:cNvPr id="37" name="Chart 36">
          <a:extLst>
            <a:ext uri="{FF2B5EF4-FFF2-40B4-BE49-F238E27FC236}">
              <a16:creationId xmlns:a16="http://schemas.microsoft.com/office/drawing/2014/main" id="{E278A1CC-9D84-4048-B6D7-57A16D565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171450</xdr:colOff>
      <xdr:row>18</xdr:row>
      <xdr:rowOff>38100</xdr:rowOff>
    </xdr:from>
    <xdr:to>
      <xdr:col>17</xdr:col>
      <xdr:colOff>514350</xdr:colOff>
      <xdr:row>30</xdr:row>
      <xdr:rowOff>104775</xdr:rowOff>
    </xdr:to>
    <xdr:graphicFrame macro="">
      <xdr:nvGraphicFramePr>
        <xdr:cNvPr id="38" name="Chart 37">
          <a:extLst>
            <a:ext uri="{FF2B5EF4-FFF2-40B4-BE49-F238E27FC236}">
              <a16:creationId xmlns:a16="http://schemas.microsoft.com/office/drawing/2014/main" id="{BB77C43F-0E84-470C-BF9F-1C5B92CFA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428625</xdr:colOff>
      <xdr:row>16</xdr:row>
      <xdr:rowOff>152400</xdr:rowOff>
    </xdr:from>
    <xdr:to>
      <xdr:col>17</xdr:col>
      <xdr:colOff>238125</xdr:colOff>
      <xdr:row>18</xdr:row>
      <xdr:rowOff>152400</xdr:rowOff>
    </xdr:to>
    <xdr:sp macro="" textlink="">
      <xdr:nvSpPr>
        <xdr:cNvPr id="39" name="TextBox 38">
          <a:extLst>
            <a:ext uri="{FF2B5EF4-FFF2-40B4-BE49-F238E27FC236}">
              <a16:creationId xmlns:a16="http://schemas.microsoft.com/office/drawing/2014/main" id="{39781958-DB27-8FA2-9FD0-377778B1771D}"/>
            </a:ext>
          </a:extLst>
        </xdr:cNvPr>
        <xdr:cNvSpPr txBox="1"/>
      </xdr:nvSpPr>
      <xdr:spPr>
        <a:xfrm>
          <a:off x="7743825" y="3200400"/>
          <a:ext cx="2857500" cy="3810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Inventory</a:t>
          </a:r>
          <a:r>
            <a:rPr lang="en-US" sz="1600" b="1" baseline="0">
              <a:latin typeface="Arial" panose="020B0604020202020204" pitchFamily="34" charset="0"/>
              <a:cs typeface="Arial" panose="020B0604020202020204" pitchFamily="34" charset="0"/>
            </a:rPr>
            <a:t> by Product</a:t>
          </a:r>
          <a:endParaRPr lang="en-US" sz="1600" b="1">
            <a:latin typeface="Arial" panose="020B0604020202020204" pitchFamily="34" charset="0"/>
            <a:cs typeface="Arial" panose="020B0604020202020204" pitchFamily="34" charset="0"/>
          </a:endParaRPr>
        </a:p>
      </xdr:txBody>
    </xdr:sp>
    <xdr:clientData/>
  </xdr:twoCellAnchor>
  <xdr:twoCellAnchor editAs="oneCell">
    <xdr:from>
      <xdr:col>15</xdr:col>
      <xdr:colOff>476250</xdr:colOff>
      <xdr:row>1</xdr:row>
      <xdr:rowOff>28575</xdr:rowOff>
    </xdr:from>
    <xdr:to>
      <xdr:col>18</xdr:col>
      <xdr:colOff>257175</xdr:colOff>
      <xdr:row>6</xdr:row>
      <xdr:rowOff>142875</xdr:rowOff>
    </xdr:to>
    <mc:AlternateContent xmlns:mc="http://schemas.openxmlformats.org/markup-compatibility/2006" xmlns:a14="http://schemas.microsoft.com/office/drawing/2010/main">
      <mc:Choice Requires="a14">
        <xdr:graphicFrame macro="">
          <xdr:nvGraphicFramePr>
            <xdr:cNvPr id="41" name="date_added">
              <a:extLst>
                <a:ext uri="{FF2B5EF4-FFF2-40B4-BE49-F238E27FC236}">
                  <a16:creationId xmlns:a16="http://schemas.microsoft.com/office/drawing/2014/main" id="{4EB2ABEE-DF73-4ADA-8138-1962B1942B7B}"/>
                </a:ext>
              </a:extLst>
            </xdr:cNvPr>
            <xdr:cNvGraphicFramePr/>
          </xdr:nvGraphicFramePr>
          <xdr:xfrm>
            <a:off x="0" y="0"/>
            <a:ext cx="0" cy="0"/>
          </xdr:xfrm>
          <a:graphic>
            <a:graphicData uri="http://schemas.microsoft.com/office/drawing/2010/slicer">
              <sle:slicer xmlns:sle="http://schemas.microsoft.com/office/drawing/2010/slicer" name="date_added"/>
            </a:graphicData>
          </a:graphic>
        </xdr:graphicFrame>
      </mc:Choice>
      <mc:Fallback xmlns="">
        <xdr:sp macro="" textlink="">
          <xdr:nvSpPr>
            <xdr:cNvPr id="0" name=""/>
            <xdr:cNvSpPr>
              <a:spLocks noTextEdit="1"/>
            </xdr:cNvSpPr>
          </xdr:nvSpPr>
          <xdr:spPr>
            <a:xfrm>
              <a:off x="9620250" y="219075"/>
              <a:ext cx="1609725"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sarjen" refreshedDate="46001.904571296298" createdVersion="8" refreshedVersion="8" minRefreshableVersion="3" recordCount="9" xr:uid="{CF96AFA4-46B6-475A-81C6-F045B803066B}">
  <cacheSource type="worksheet">
    <worksheetSource name="inventory"/>
  </cacheSource>
  <cacheFields count="6">
    <cacheField name="id" numFmtId="0">
      <sharedItems containsSemiMixedTypes="0" containsString="0" containsNumber="1" containsInteger="1" minValue="1" maxValue="9"/>
    </cacheField>
    <cacheField name="product_name" numFmtId="0">
      <sharedItems count="9">
        <s v="Coke Mismo"/>
        <s v="Pillows - Ube Small"/>
        <s v="Piattos - Sour Cream"/>
        <s v="Chuckie"/>
        <s v="Gummy Worms"/>
        <s v="Bacon 350g"/>
        <s v="Yakult"/>
        <s v="Nova"/>
        <s v="Dutch Mill"/>
      </sharedItems>
    </cacheField>
    <cacheField name="quantity" numFmtId="0">
      <sharedItems containsSemiMixedTypes="0" containsString="0" containsNumber="1" containsInteger="1" minValue="2" maxValue="40"/>
    </cacheField>
    <cacheField name="category" numFmtId="0">
      <sharedItems count="4">
        <s v="Drinks"/>
        <s v="Snacks"/>
        <s v="Sweets"/>
        <s v="Frozen Goods"/>
      </sharedItems>
    </cacheField>
    <cacheField name="price" numFmtId="0">
      <sharedItems containsSemiMixedTypes="0" containsString="0" containsNumber="1" containsInteger="1" minValue="10" maxValue="299"/>
    </cacheField>
    <cacheField name="date_added" numFmtId="14">
      <sharedItems containsSemiMixedTypes="0" containsNonDate="0" containsDate="1" containsString="0" minDate="2024-12-10T00:00:00" maxDate="2025-12-11T00:00:00" count="2">
        <d v="2025-12-10T00:00:00"/>
        <d v="2024-12-10T00:00:00"/>
      </sharedItems>
    </cacheField>
  </cacheFields>
  <extLst>
    <ext xmlns:x14="http://schemas.microsoft.com/office/spreadsheetml/2009/9/main" uri="{725AE2AE-9491-48be-B2B4-4EB974FC3084}">
      <x14:pivotCacheDefinition pivotCacheId="1011636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x v="0"/>
    <n v="2"/>
    <x v="0"/>
    <n v="10"/>
    <x v="0"/>
  </r>
  <r>
    <n v="2"/>
    <x v="1"/>
    <n v="10"/>
    <x v="1"/>
    <n v="10"/>
    <x v="0"/>
  </r>
  <r>
    <n v="3"/>
    <x v="2"/>
    <n v="10"/>
    <x v="1"/>
    <n v="20"/>
    <x v="0"/>
  </r>
  <r>
    <n v="4"/>
    <x v="3"/>
    <n v="20"/>
    <x v="0"/>
    <n v="25"/>
    <x v="0"/>
  </r>
  <r>
    <n v="5"/>
    <x v="4"/>
    <n v="20"/>
    <x v="2"/>
    <n v="50"/>
    <x v="0"/>
  </r>
  <r>
    <n v="6"/>
    <x v="5"/>
    <n v="20"/>
    <x v="3"/>
    <n v="299"/>
    <x v="0"/>
  </r>
  <r>
    <n v="7"/>
    <x v="6"/>
    <n v="15"/>
    <x v="0"/>
    <n v="50"/>
    <x v="1"/>
  </r>
  <r>
    <n v="8"/>
    <x v="7"/>
    <n v="25"/>
    <x v="1"/>
    <n v="15"/>
    <x v="1"/>
  </r>
  <r>
    <n v="9"/>
    <x v="8"/>
    <n v="40"/>
    <x v="0"/>
    <n v="4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F9938F-FAB3-4C6A-8E98-D03F07B0E7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64" firstHeaderRow="1" firstDataRow="1" firstDataCol="1"/>
  <pivotFields count="6">
    <pivotField showAll="0"/>
    <pivotField axis="axisRow" dataField="1" showAll="0">
      <items count="10">
        <item x="5"/>
        <item x="3"/>
        <item x="0"/>
        <item x="4"/>
        <item x="2"/>
        <item x="1"/>
        <item x="6"/>
        <item x="7"/>
        <item x="8"/>
        <item t="default"/>
      </items>
    </pivotField>
    <pivotField showAll="0"/>
    <pivotField showAll="0">
      <items count="5">
        <item x="0"/>
        <item x="3"/>
        <item x="1"/>
        <item x="2"/>
        <item t="default"/>
      </items>
    </pivotField>
    <pivotField showAll="0"/>
    <pivotField numFmtId="14" showAll="0">
      <items count="3">
        <item x="1"/>
        <item x="0"/>
        <item t="default"/>
      </items>
    </pivotField>
  </pivotFields>
  <rowFields count="1">
    <field x="1"/>
  </rowFields>
  <rowItems count="10">
    <i>
      <x/>
    </i>
    <i>
      <x v="1"/>
    </i>
    <i>
      <x v="2"/>
    </i>
    <i>
      <x v="3"/>
    </i>
    <i>
      <x v="4"/>
    </i>
    <i>
      <x v="5"/>
    </i>
    <i>
      <x v="6"/>
    </i>
    <i>
      <x v="7"/>
    </i>
    <i>
      <x v="8"/>
    </i>
    <i t="grand">
      <x/>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BE51F-4312-45CD-98C1-D7343EC3C5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B44" firstHeaderRow="1" firstDataRow="1" firstDataCol="1" rowPageCount="1" colPageCount="1"/>
  <pivotFields count="6">
    <pivotField showAll="0"/>
    <pivotField axis="axisRow" showAll="0">
      <items count="10">
        <item x="5"/>
        <item x="3"/>
        <item x="0"/>
        <item x="4"/>
        <item x="2"/>
        <item x="1"/>
        <item x="6"/>
        <item x="7"/>
        <item x="8"/>
        <item t="default"/>
      </items>
    </pivotField>
    <pivotField dataField="1" showAll="0"/>
    <pivotField axis="axisPage" showAll="0">
      <items count="5">
        <item x="0"/>
        <item x="3"/>
        <item x="1"/>
        <item x="2"/>
        <item t="default"/>
      </items>
    </pivotField>
    <pivotField showAll="0"/>
    <pivotField numFmtId="14" showAll="0"/>
  </pivotFields>
  <rowFields count="1">
    <field x="1"/>
  </rowFields>
  <rowItems count="10">
    <i>
      <x/>
    </i>
    <i>
      <x v="1"/>
    </i>
    <i>
      <x v="2"/>
    </i>
    <i>
      <x v="3"/>
    </i>
    <i>
      <x v="4"/>
    </i>
    <i>
      <x v="5"/>
    </i>
    <i>
      <x v="6"/>
    </i>
    <i>
      <x v="7"/>
    </i>
    <i>
      <x v="8"/>
    </i>
    <i t="grand">
      <x/>
    </i>
  </rowItems>
  <colItems count="1">
    <i/>
  </colItems>
  <pageFields count="1">
    <pageField fld="3" hier="-1"/>
  </pageFields>
  <dataFields count="1">
    <dataField name="Sum of quantity" fld="2" baseField="0"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 chart="1" format="8">
      <pivotArea type="data" outline="0" fieldPosition="0">
        <references count="2">
          <reference field="4294967294" count="1" selected="0">
            <x v="0"/>
          </reference>
          <reference field="1" count="1" selected="0">
            <x v="6"/>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 chart="2" format="17">
      <pivotArea type="data" outline="0" fieldPosition="0">
        <references count="2">
          <reference field="4294967294" count="1" selected="0">
            <x v="0"/>
          </reference>
          <reference field="1" count="1" selected="0">
            <x v="7"/>
          </reference>
        </references>
      </pivotArea>
    </chartFormat>
    <chartFormat chart="2" format="18">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9355F-2850-4FD0-B038-9409FD825AC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2:B117" firstHeaderRow="1" firstDataRow="1" firstDataCol="1"/>
  <pivotFields count="6">
    <pivotField showAll="0"/>
    <pivotField showAll="0">
      <items count="10">
        <item x="5"/>
        <item x="3"/>
        <item x="0"/>
        <item x="8"/>
        <item x="4"/>
        <item x="7"/>
        <item x="2"/>
        <item x="1"/>
        <item x="6"/>
        <item t="default"/>
      </items>
    </pivotField>
    <pivotField showAll="0"/>
    <pivotField axis="axisRow" dataField="1" showAll="0">
      <items count="5">
        <item x="0"/>
        <item x="3"/>
        <item x="1"/>
        <item x="2"/>
        <item t="default"/>
      </items>
    </pivotField>
    <pivotField showAll="0"/>
    <pivotField numFmtId="14" showAll="0">
      <items count="3">
        <item x="1"/>
        <item x="0"/>
        <item t="default"/>
      </items>
    </pivotField>
  </pivotFields>
  <rowFields count="1">
    <field x="3"/>
  </rowFields>
  <rowItems count="5">
    <i>
      <x/>
    </i>
    <i>
      <x v="1"/>
    </i>
    <i>
      <x v="2"/>
    </i>
    <i>
      <x v="3"/>
    </i>
    <i t="grand">
      <x/>
    </i>
  </rowItems>
  <colItems count="1">
    <i/>
  </colItems>
  <dataFields count="1">
    <dataField name="Count of category"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C5E5B-885D-4699-90F5-F9B3F4EE612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1:C101" firstHeaderRow="0" firstDataRow="1" firstDataCol="1"/>
  <pivotFields count="6">
    <pivotField showAll="0"/>
    <pivotField axis="axisRow" showAll="0">
      <items count="10">
        <item x="5"/>
        <item x="3"/>
        <item x="0"/>
        <item x="4"/>
        <item x="2"/>
        <item x="1"/>
        <item x="6"/>
        <item x="7"/>
        <item x="8"/>
        <item t="default"/>
      </items>
    </pivotField>
    <pivotField dataField="1" showAll="0"/>
    <pivotField showAll="0">
      <items count="5">
        <item x="0"/>
        <item x="3"/>
        <item x="1"/>
        <item x="2"/>
        <item t="default"/>
      </items>
    </pivotField>
    <pivotField dataField="1" showAll="0"/>
    <pivotField numFmtId="14" showAll="0">
      <items count="3">
        <item x="1"/>
        <item x="0"/>
        <item t="default"/>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Sum of quantity" fld="2" baseField="0" baseItem="0"/>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DCAA71-5B23-4702-9266-96B97FA6E4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1" firstHeaderRow="1" firstDataRow="1" firstDataCol="1" rowPageCount="1" colPageCount="1"/>
  <pivotFields count="6">
    <pivotField showAll="0"/>
    <pivotField showAll="0">
      <items count="10">
        <item x="5"/>
        <item x="3"/>
        <item x="0"/>
        <item x="8"/>
        <item x="4"/>
        <item x="7"/>
        <item x="2"/>
        <item x="1"/>
        <item x="6"/>
        <item t="default"/>
      </items>
    </pivotField>
    <pivotField dataField="1" showAll="0"/>
    <pivotField axis="axisPage" showAll="0">
      <items count="5">
        <item x="0"/>
        <item x="3"/>
        <item x="1"/>
        <item x="2"/>
        <item t="default"/>
      </items>
    </pivotField>
    <pivotField showAll="0"/>
    <pivotField axis="axisRow" numFmtId="14" showAll="0">
      <items count="3">
        <item x="0"/>
        <item x="1"/>
        <item t="default"/>
      </items>
    </pivotField>
  </pivotFields>
  <rowFields count="1">
    <field x="5"/>
  </rowFields>
  <rowItems count="3">
    <i>
      <x/>
    </i>
    <i>
      <x v="1"/>
    </i>
    <i t="grand">
      <x/>
    </i>
  </rowItems>
  <colItems count="1">
    <i/>
  </colItems>
  <pageFields count="1">
    <pageField fld="3" hier="-1"/>
  </pageField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746CEC-3DBB-4F34-80C5-1ACDD853DF9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B82" firstHeaderRow="1" firstDataRow="1" firstDataCol="1"/>
  <pivotFields count="6">
    <pivotField showAll="0"/>
    <pivotField showAll="0">
      <items count="10">
        <item x="5"/>
        <item x="3"/>
        <item x="0"/>
        <item x="8"/>
        <item x="4"/>
        <item x="7"/>
        <item x="2"/>
        <item x="1"/>
        <item x="6"/>
        <item t="default"/>
      </items>
    </pivotField>
    <pivotField dataField="1" showAll="0"/>
    <pivotField axis="axisRow" showAll="0">
      <items count="5">
        <item x="0"/>
        <item x="3"/>
        <item x="1"/>
        <item x="2"/>
        <item t="default"/>
      </items>
    </pivotField>
    <pivotField showAll="0"/>
    <pivotField numFmtId="14" showAll="0">
      <items count="3">
        <item x="1"/>
        <item x="0"/>
        <item t="default"/>
      </items>
    </pivotField>
  </pivotFields>
  <rowFields count="1">
    <field x="3"/>
  </rowFields>
  <rowItems count="5">
    <i>
      <x/>
    </i>
    <i>
      <x v="1"/>
    </i>
    <i>
      <x v="2"/>
    </i>
    <i>
      <x v="3"/>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3CC884-BCA4-4A6E-80CB-8CF09D3FDC5D}" name="Inventoryb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6">
    <pivotField showAll="0"/>
    <pivotField showAll="0">
      <items count="10">
        <item x="5"/>
        <item x="3"/>
        <item x="0"/>
        <item x="8"/>
        <item x="4"/>
        <item x="7"/>
        <item x="2"/>
        <item x="1"/>
        <item x="6"/>
        <item t="default"/>
      </items>
    </pivotField>
    <pivotField dataField="1" showAll="0"/>
    <pivotField axis="axisRow" showAll="0">
      <items count="5">
        <item x="0"/>
        <item x="1"/>
        <item x="2"/>
        <item x="3"/>
        <item t="default"/>
      </items>
    </pivotField>
    <pivotField showAll="0"/>
    <pivotField numFmtId="14" showAll="0">
      <items count="3">
        <item x="1"/>
        <item x="0"/>
        <item t="default"/>
      </items>
    </pivotField>
  </pivotFields>
  <rowFields count="1">
    <field x="3"/>
  </rowFields>
  <rowItems count="5">
    <i>
      <x/>
    </i>
    <i>
      <x v="1"/>
    </i>
    <i>
      <x v="2"/>
    </i>
    <i>
      <x v="3"/>
    </i>
    <i t="grand">
      <x/>
    </i>
  </rowItems>
  <colItems count="1">
    <i/>
  </colItems>
  <dataFields count="1">
    <dataField name="Sum of quantity"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760B93-C9DC-4978-91FF-E904B93615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A71" firstHeaderRow="1" firstDataRow="1" firstDataCol="0"/>
  <pivotFields count="6">
    <pivotField showAll="0"/>
    <pivotField showAll="0">
      <items count="10">
        <item x="5"/>
        <item x="3"/>
        <item x="0"/>
        <item x="8"/>
        <item x="4"/>
        <item x="7"/>
        <item x="2"/>
        <item x="1"/>
        <item x="6"/>
        <item t="default"/>
      </items>
    </pivotField>
    <pivotField dataField="1" showAll="0"/>
    <pivotField showAll="0">
      <items count="5">
        <item x="0"/>
        <item x="3"/>
        <item x="1"/>
        <item x="2"/>
        <item t="default"/>
      </items>
    </pivotField>
    <pivotField showAll="0"/>
    <pivotField numFmtId="14" showAll="0">
      <items count="3">
        <item x="1"/>
        <item x="0"/>
        <item t="default"/>
      </items>
    </pivotField>
  </pivotFields>
  <rowItems count="1">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98ABB3-2722-4309-8607-E1ED817C8472}" autoFormatId="16" applyNumberFormats="0" applyBorderFormats="0" applyFontFormats="0" applyPatternFormats="0" applyAlignmentFormats="0" applyWidthHeightFormats="0">
  <queryTableRefresh nextId="8">
    <queryTableFields count="6">
      <queryTableField id="2" name="id" tableColumnId="2"/>
      <queryTableField id="3" name="product_name" tableColumnId="3"/>
      <queryTableField id="4" name="quantity" tableColumnId="4"/>
      <queryTableField id="5" name="category" tableColumnId="5"/>
      <queryTableField id="6" name="price" tableColumnId="6"/>
      <queryTableField id="7" name="date_adde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6587193-0B23-4081-92C7-5DEA0ACD33A4}" sourceName="product_name">
  <pivotTables>
    <pivotTable tabId="4" name="InventorybyCategory"/>
    <pivotTable tabId="4" name="PivotTable10"/>
    <pivotTable tabId="4" name="PivotTable11"/>
    <pivotTable tabId="4" name="PivotTable6"/>
    <pivotTable tabId="4" name="PivotTable8"/>
    <pivotTable tabId="4" name="PivotTable9"/>
    <pivotTable tabId="4" name="PivotTable3"/>
    <pivotTable tabId="4" name="PivotTable5"/>
  </pivotTables>
  <data>
    <tabular pivotCacheId="1011636916">
      <items count="9">
        <i x="5" s="1"/>
        <i x="3" s="1"/>
        <i x="0" s="1"/>
        <i x="8" s="1"/>
        <i x="4" s="1"/>
        <i x="7" s="1"/>
        <i x="2"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227FF1-B03E-4F94-A865-02E8B8A4278E}" sourceName="category">
  <pivotTables>
    <pivotTable tabId="4" name="InventorybyCategory"/>
    <pivotTable tabId="4" name="PivotTable10"/>
    <pivotTable tabId="4" name="PivotTable11"/>
    <pivotTable tabId="4" name="PivotTable3"/>
    <pivotTable tabId="4" name="PivotTable5"/>
    <pivotTable tabId="4" name="PivotTable6"/>
    <pivotTable tabId="4" name="PivotTable8"/>
    <pivotTable tabId="4" name="PivotTable9"/>
  </pivotTables>
  <data>
    <tabular pivotCacheId="1011636916">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added" xr10:uid="{D782D96F-42EC-4851-9F56-DAA28E8DAB91}" sourceName="date_added">
  <pivotTables>
    <pivotTable tabId="4" name="PivotTable3"/>
    <pivotTable tabId="4" name="InventorybyCategory"/>
    <pivotTable tabId="4" name="PivotTable10"/>
    <pivotTable tabId="4" name="PivotTable11"/>
    <pivotTable tabId="4" name="PivotTable6"/>
    <pivotTable tabId="4" name="PivotTable8"/>
    <pivotTable tabId="4" name="PivotTable9"/>
  </pivotTables>
  <data>
    <tabular pivotCacheId="10116369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8F3B62AC-B126-4894-8B2C-804C40B94EA6}" cache="Slicer_product_name" caption="product_name" style="SlicerStyleLight4" rowHeight="241300"/>
  <slicer name="category" xr10:uid="{3C9160E2-0E55-4F72-94F1-8CBB36D6C242}" cache="Slicer_category" caption="category" style="SlicerStyleLight4" rowHeight="241300"/>
  <slicer name="date_added" xr10:uid="{C70878EE-22BE-42CE-BECD-B90D95E53400}" cache="Slicer_date_added" caption="date_added"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17D045-F7C0-43D3-AA6B-563250B6134D}" name="inventory" displayName="inventory" ref="A1:F10" tableType="queryTable" totalsRowShown="0" headerRowDxfId="7" dataDxfId="6">
  <autoFilter ref="A1:F10" xr:uid="{8617D045-F7C0-43D3-AA6B-563250B6134D}"/>
  <tableColumns count="6">
    <tableColumn id="2" xr3:uid="{9AE04D32-56A3-4BE2-8451-96AB35F17435}" uniqueName="2" name="id" queryTableFieldId="2" dataDxfId="5"/>
    <tableColumn id="3" xr3:uid="{08348054-9C79-4A3A-83EE-4E077A2EEF8B}" uniqueName="3" name="product_name" queryTableFieldId="3" dataDxfId="4"/>
    <tableColumn id="4" xr3:uid="{1AF7D986-2F17-4EDA-A593-CB4F18D52D77}" uniqueName="4" name="quantity" queryTableFieldId="4" dataDxfId="3"/>
    <tableColumn id="5" xr3:uid="{77A47F9E-06F7-4DF6-A80B-F476BCE092AA}" uniqueName="5" name="category" queryTableFieldId="5" dataDxfId="2"/>
    <tableColumn id="6" xr3:uid="{114F293B-67F2-4699-8D2B-09C8E969D3C0}" uniqueName="6" name="price" queryTableFieldId="6" dataDxfId="1"/>
    <tableColumn id="7" xr3:uid="{58C4AE1F-3BDE-4C36-9A2C-85DFB0F252B2}" uniqueName="7" name="date_added" queryTableFieldId="7"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7932-ACC1-44D5-9D8C-1D7E6419457D}">
  <dimension ref="A1"/>
  <sheetViews>
    <sheetView tabSelected="1" workbookViewId="0">
      <selection activeCell="V14" sqref="V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B592-BF91-416A-93CC-A1A51741EFD2}">
  <dimension ref="A3:E117"/>
  <sheetViews>
    <sheetView workbookViewId="0">
      <selection activeCell="A6" sqref="A6"/>
    </sheetView>
  </sheetViews>
  <sheetFormatPr defaultRowHeight="15" x14ac:dyDescent="0.25"/>
  <cols>
    <col min="1" max="1" width="13.140625" bestFit="1" customWidth="1"/>
    <col min="2" max="2" width="15.140625" bestFit="1" customWidth="1"/>
    <col min="3" max="3" width="12" bestFit="1" customWidth="1"/>
    <col min="4" max="4" width="15.140625" bestFit="1" customWidth="1"/>
    <col min="5" max="5" width="10.28515625" bestFit="1" customWidth="1"/>
  </cols>
  <sheetData>
    <row r="3" spans="1:2" x14ac:dyDescent="0.25">
      <c r="A3" s="3" t="s">
        <v>15</v>
      </c>
      <c r="B3" t="s">
        <v>16</v>
      </c>
    </row>
    <row r="4" spans="1:2" x14ac:dyDescent="0.25">
      <c r="A4" s="4" t="s">
        <v>7</v>
      </c>
      <c r="B4" s="7">
        <v>77</v>
      </c>
    </row>
    <row r="5" spans="1:2" x14ac:dyDescent="0.25">
      <c r="A5" s="4" t="s">
        <v>9</v>
      </c>
      <c r="B5" s="7">
        <v>45</v>
      </c>
    </row>
    <row r="6" spans="1:2" x14ac:dyDescent="0.25">
      <c r="A6" s="4" t="s">
        <v>13</v>
      </c>
      <c r="B6" s="7">
        <v>20</v>
      </c>
    </row>
    <row r="7" spans="1:2" x14ac:dyDescent="0.25">
      <c r="A7" s="4" t="s">
        <v>18</v>
      </c>
      <c r="B7" s="7">
        <v>20</v>
      </c>
    </row>
    <row r="8" spans="1:2" x14ac:dyDescent="0.25">
      <c r="A8" s="4" t="s">
        <v>14</v>
      </c>
      <c r="B8" s="7">
        <v>162</v>
      </c>
    </row>
    <row r="16" spans="1:2" x14ac:dyDescent="0.25">
      <c r="A16" s="3" t="s">
        <v>3</v>
      </c>
      <c r="B16" t="s">
        <v>19</v>
      </c>
    </row>
    <row r="18" spans="1:2" x14ac:dyDescent="0.25">
      <c r="A18" s="3" t="s">
        <v>15</v>
      </c>
      <c r="B18" t="s">
        <v>16</v>
      </c>
    </row>
    <row r="19" spans="1:2" x14ac:dyDescent="0.25">
      <c r="A19" s="5">
        <v>46001</v>
      </c>
      <c r="B19" s="7">
        <v>82</v>
      </c>
    </row>
    <row r="20" spans="1:2" x14ac:dyDescent="0.25">
      <c r="A20" s="5">
        <v>45636</v>
      </c>
      <c r="B20" s="7">
        <v>80</v>
      </c>
    </row>
    <row r="21" spans="1:2" x14ac:dyDescent="0.25">
      <c r="A21" s="5" t="s">
        <v>14</v>
      </c>
      <c r="B21" s="7">
        <v>162</v>
      </c>
    </row>
    <row r="32" spans="1:2" x14ac:dyDescent="0.25">
      <c r="A32" s="3" t="s">
        <v>3</v>
      </c>
      <c r="B32" t="s">
        <v>19</v>
      </c>
    </row>
    <row r="34" spans="1:2" x14ac:dyDescent="0.25">
      <c r="A34" s="3" t="s">
        <v>15</v>
      </c>
      <c r="B34" t="s">
        <v>16</v>
      </c>
    </row>
    <row r="35" spans="1:2" x14ac:dyDescent="0.25">
      <c r="A35" s="4" t="s">
        <v>17</v>
      </c>
      <c r="B35" s="7">
        <v>20</v>
      </c>
    </row>
    <row r="36" spans="1:2" x14ac:dyDescent="0.25">
      <c r="A36" s="4" t="s">
        <v>11</v>
      </c>
      <c r="B36" s="7">
        <v>20</v>
      </c>
    </row>
    <row r="37" spans="1:2" x14ac:dyDescent="0.25">
      <c r="A37" s="4" t="s">
        <v>6</v>
      </c>
      <c r="B37" s="7">
        <v>2</v>
      </c>
    </row>
    <row r="38" spans="1:2" x14ac:dyDescent="0.25">
      <c r="A38" s="4" t="s">
        <v>12</v>
      </c>
      <c r="B38" s="7">
        <v>20</v>
      </c>
    </row>
    <row r="39" spans="1:2" x14ac:dyDescent="0.25">
      <c r="A39" s="4" t="s">
        <v>10</v>
      </c>
      <c r="B39" s="7">
        <v>10</v>
      </c>
    </row>
    <row r="40" spans="1:2" x14ac:dyDescent="0.25">
      <c r="A40" s="4" t="s">
        <v>8</v>
      </c>
      <c r="B40" s="7">
        <v>10</v>
      </c>
    </row>
    <row r="41" spans="1:2" x14ac:dyDescent="0.25">
      <c r="A41" s="4" t="s">
        <v>20</v>
      </c>
      <c r="B41" s="7">
        <v>15</v>
      </c>
    </row>
    <row r="42" spans="1:2" x14ac:dyDescent="0.25">
      <c r="A42" s="4" t="s">
        <v>25</v>
      </c>
      <c r="B42" s="7">
        <v>25</v>
      </c>
    </row>
    <row r="43" spans="1:2" x14ac:dyDescent="0.25">
      <c r="A43" s="4" t="s">
        <v>26</v>
      </c>
      <c r="B43" s="7">
        <v>40</v>
      </c>
    </row>
    <row r="44" spans="1:2" x14ac:dyDescent="0.25">
      <c r="A44" s="4" t="s">
        <v>14</v>
      </c>
      <c r="B44" s="7">
        <v>162</v>
      </c>
    </row>
    <row r="54" spans="1:4" x14ac:dyDescent="0.25">
      <c r="A54" s="3" t="s">
        <v>15</v>
      </c>
      <c r="B54" t="s">
        <v>23</v>
      </c>
    </row>
    <row r="55" spans="1:4" x14ac:dyDescent="0.25">
      <c r="A55" s="4" t="s">
        <v>17</v>
      </c>
      <c r="B55" s="7">
        <v>1</v>
      </c>
    </row>
    <row r="56" spans="1:4" x14ac:dyDescent="0.25">
      <c r="A56" s="4" t="s">
        <v>11</v>
      </c>
      <c r="B56" s="7">
        <v>1</v>
      </c>
    </row>
    <row r="57" spans="1:4" x14ac:dyDescent="0.25">
      <c r="A57" s="4" t="s">
        <v>6</v>
      </c>
      <c r="B57" s="7">
        <v>1</v>
      </c>
    </row>
    <row r="58" spans="1:4" x14ac:dyDescent="0.25">
      <c r="A58" s="4" t="s">
        <v>12</v>
      </c>
      <c r="B58" s="7">
        <v>1</v>
      </c>
    </row>
    <row r="59" spans="1:4" x14ac:dyDescent="0.25">
      <c r="A59" s="4" t="s">
        <v>10</v>
      </c>
      <c r="B59" s="7">
        <v>1</v>
      </c>
    </row>
    <row r="60" spans="1:4" x14ac:dyDescent="0.25">
      <c r="A60" s="4" t="s">
        <v>8</v>
      </c>
      <c r="B60" s="7">
        <v>1</v>
      </c>
    </row>
    <row r="61" spans="1:4" x14ac:dyDescent="0.25">
      <c r="A61" s="4" t="s">
        <v>20</v>
      </c>
      <c r="B61" s="7">
        <v>1</v>
      </c>
    </row>
    <row r="62" spans="1:4" x14ac:dyDescent="0.25">
      <c r="A62" s="4" t="s">
        <v>25</v>
      </c>
      <c r="B62" s="7">
        <v>1</v>
      </c>
      <c r="C62" t="s">
        <v>22</v>
      </c>
      <c r="D62">
        <f>GETPIVOTDATA("product_name",$A$54)</f>
        <v>9</v>
      </c>
    </row>
    <row r="63" spans="1:4" x14ac:dyDescent="0.25">
      <c r="A63" s="4" t="s">
        <v>26</v>
      </c>
      <c r="B63" s="7">
        <v>1</v>
      </c>
    </row>
    <row r="64" spans="1:4" x14ac:dyDescent="0.25">
      <c r="A64" s="4" t="s">
        <v>14</v>
      </c>
      <c r="B64" s="7">
        <v>9</v>
      </c>
    </row>
    <row r="70" spans="1:2" x14ac:dyDescent="0.25">
      <c r="A70" t="s">
        <v>16</v>
      </c>
    </row>
    <row r="71" spans="1:2" x14ac:dyDescent="0.25">
      <c r="A71" s="7">
        <v>162</v>
      </c>
    </row>
    <row r="77" spans="1:2" x14ac:dyDescent="0.25">
      <c r="A77" s="3" t="s">
        <v>15</v>
      </c>
      <c r="B77" t="s">
        <v>16</v>
      </c>
    </row>
    <row r="78" spans="1:2" x14ac:dyDescent="0.25">
      <c r="A78" s="4" t="s">
        <v>7</v>
      </c>
      <c r="B78" s="7">
        <v>77</v>
      </c>
    </row>
    <row r="79" spans="1:2" x14ac:dyDescent="0.25">
      <c r="A79" s="4" t="s">
        <v>18</v>
      </c>
      <c r="B79" s="7">
        <v>20</v>
      </c>
    </row>
    <row r="80" spans="1:2" x14ac:dyDescent="0.25">
      <c r="A80" s="4" t="s">
        <v>9</v>
      </c>
      <c r="B80" s="7">
        <v>45</v>
      </c>
    </row>
    <row r="81" spans="1:4" x14ac:dyDescent="0.25">
      <c r="A81" s="4" t="s">
        <v>13</v>
      </c>
      <c r="B81" s="7">
        <v>20</v>
      </c>
    </row>
    <row r="82" spans="1:4" x14ac:dyDescent="0.25">
      <c r="A82" s="4" t="s">
        <v>14</v>
      </c>
      <c r="B82" s="7">
        <v>162</v>
      </c>
      <c r="D82">
        <f>GETPIVOTDATA("quantity",$A$77)</f>
        <v>162</v>
      </c>
    </row>
    <row r="91" spans="1:4" x14ac:dyDescent="0.25">
      <c r="A91" s="3" t="s">
        <v>15</v>
      </c>
      <c r="B91" t="s">
        <v>16</v>
      </c>
      <c r="C91" t="s">
        <v>21</v>
      </c>
    </row>
    <row r="92" spans="1:4" x14ac:dyDescent="0.25">
      <c r="A92" s="4" t="s">
        <v>17</v>
      </c>
      <c r="B92" s="7">
        <v>20</v>
      </c>
      <c r="C92" s="7">
        <v>299</v>
      </c>
    </row>
    <row r="93" spans="1:4" x14ac:dyDescent="0.25">
      <c r="A93" s="4" t="s">
        <v>11</v>
      </c>
      <c r="B93" s="7">
        <v>20</v>
      </c>
      <c r="C93" s="7">
        <v>25</v>
      </c>
    </row>
    <row r="94" spans="1:4" x14ac:dyDescent="0.25">
      <c r="A94" s="4" t="s">
        <v>6</v>
      </c>
      <c r="B94" s="7">
        <v>2</v>
      </c>
      <c r="C94" s="7">
        <v>10</v>
      </c>
    </row>
    <row r="95" spans="1:4" x14ac:dyDescent="0.25">
      <c r="A95" s="4" t="s">
        <v>12</v>
      </c>
      <c r="B95" s="7">
        <v>20</v>
      </c>
      <c r="C95" s="7">
        <v>50</v>
      </c>
    </row>
    <row r="96" spans="1:4" x14ac:dyDescent="0.25">
      <c r="A96" s="4" t="s">
        <v>10</v>
      </c>
      <c r="B96" s="7">
        <v>10</v>
      </c>
      <c r="C96" s="7">
        <v>20</v>
      </c>
    </row>
    <row r="97" spans="1:5" x14ac:dyDescent="0.25">
      <c r="A97" s="4" t="s">
        <v>8</v>
      </c>
      <c r="B97" s="7">
        <v>10</v>
      </c>
      <c r="C97" s="7">
        <v>10</v>
      </c>
    </row>
    <row r="98" spans="1:5" x14ac:dyDescent="0.25">
      <c r="A98" s="4" t="s">
        <v>20</v>
      </c>
      <c r="B98" s="7">
        <v>15</v>
      </c>
      <c r="C98" s="7">
        <v>50</v>
      </c>
    </row>
    <row r="99" spans="1:5" x14ac:dyDescent="0.25">
      <c r="A99" s="4" t="s">
        <v>25</v>
      </c>
      <c r="B99" s="7">
        <v>25</v>
      </c>
      <c r="C99" s="7">
        <v>15</v>
      </c>
      <c r="E99" s="6">
        <f>GETPIVOTDATA("Sum of quantity",$A$91)*GETPIVOTDATA("Sum of price",$A$91)</f>
        <v>84078</v>
      </c>
    </row>
    <row r="100" spans="1:5" x14ac:dyDescent="0.25">
      <c r="A100" s="4" t="s">
        <v>26</v>
      </c>
      <c r="B100" s="7">
        <v>40</v>
      </c>
      <c r="C100" s="7">
        <v>40</v>
      </c>
    </row>
    <row r="101" spans="1:5" x14ac:dyDescent="0.25">
      <c r="A101" s="4" t="s">
        <v>14</v>
      </c>
      <c r="B101" s="7">
        <v>162</v>
      </c>
      <c r="C101" s="7">
        <v>519</v>
      </c>
    </row>
    <row r="112" spans="1:5" x14ac:dyDescent="0.25">
      <c r="A112" s="3" t="s">
        <v>15</v>
      </c>
      <c r="B112" t="s">
        <v>24</v>
      </c>
      <c r="E112">
        <f>COUNTA(B113:B116)</f>
        <v>4</v>
      </c>
    </row>
    <row r="113" spans="1:2" x14ac:dyDescent="0.25">
      <c r="A113" s="4" t="s">
        <v>7</v>
      </c>
      <c r="B113" s="7">
        <v>4</v>
      </c>
    </row>
    <row r="114" spans="1:2" x14ac:dyDescent="0.25">
      <c r="A114" s="4" t="s">
        <v>18</v>
      </c>
      <c r="B114" s="7">
        <v>1</v>
      </c>
    </row>
    <row r="115" spans="1:2" x14ac:dyDescent="0.25">
      <c r="A115" s="4" t="s">
        <v>9</v>
      </c>
      <c r="B115" s="7">
        <v>3</v>
      </c>
    </row>
    <row r="116" spans="1:2" x14ac:dyDescent="0.25">
      <c r="A116" s="4" t="s">
        <v>13</v>
      </c>
      <c r="B116" s="7">
        <v>1</v>
      </c>
    </row>
    <row r="117" spans="1:2" x14ac:dyDescent="0.25">
      <c r="A117" s="4" t="s">
        <v>14</v>
      </c>
      <c r="B117" s="7">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71091-B0CB-4642-A05F-F5A807EC1542}">
  <dimension ref="A1:F10"/>
  <sheetViews>
    <sheetView workbookViewId="0">
      <selection activeCell="B18" sqref="B18"/>
    </sheetView>
  </sheetViews>
  <sheetFormatPr defaultRowHeight="15" x14ac:dyDescent="0.25"/>
  <cols>
    <col min="1" max="1" width="5.5703125" bestFit="1" customWidth="1"/>
    <col min="2" max="2" width="22.7109375" bestFit="1" customWidth="1"/>
    <col min="3" max="3" width="12.42578125" bestFit="1" customWidth="1"/>
    <col min="4" max="4" width="15.5703125" bestFit="1" customWidth="1"/>
    <col min="5" max="5" width="9" bestFit="1" customWidth="1"/>
    <col min="6" max="6" width="16.5703125" bestFit="1" customWidth="1"/>
    <col min="7" max="7" width="11.85546875" bestFit="1" customWidth="1"/>
  </cols>
  <sheetData>
    <row r="1" spans="1:6" ht="15.75" x14ac:dyDescent="0.25">
      <c r="A1" s="1" t="s">
        <v>0</v>
      </c>
      <c r="B1" s="1" t="s">
        <v>1</v>
      </c>
      <c r="C1" s="1" t="s">
        <v>2</v>
      </c>
      <c r="D1" s="1" t="s">
        <v>3</v>
      </c>
      <c r="E1" s="1" t="s">
        <v>4</v>
      </c>
      <c r="F1" s="1" t="s">
        <v>5</v>
      </c>
    </row>
    <row r="2" spans="1:6" ht="15.75" x14ac:dyDescent="0.25">
      <c r="A2" s="1">
        <v>1</v>
      </c>
      <c r="B2" s="1" t="s">
        <v>6</v>
      </c>
      <c r="C2" s="1">
        <v>2</v>
      </c>
      <c r="D2" s="1" t="s">
        <v>7</v>
      </c>
      <c r="E2" s="1">
        <v>10</v>
      </c>
      <c r="F2" s="2">
        <v>46001</v>
      </c>
    </row>
    <row r="3" spans="1:6" ht="15.75" x14ac:dyDescent="0.25">
      <c r="A3" s="1">
        <v>2</v>
      </c>
      <c r="B3" s="1" t="s">
        <v>8</v>
      </c>
      <c r="C3" s="1">
        <v>10</v>
      </c>
      <c r="D3" s="1" t="s">
        <v>9</v>
      </c>
      <c r="E3" s="1">
        <v>10</v>
      </c>
      <c r="F3" s="2">
        <v>46001</v>
      </c>
    </row>
    <row r="4" spans="1:6" ht="15.75" x14ac:dyDescent="0.25">
      <c r="A4" s="1">
        <v>3</v>
      </c>
      <c r="B4" s="1" t="s">
        <v>10</v>
      </c>
      <c r="C4" s="1">
        <v>10</v>
      </c>
      <c r="D4" s="1" t="s">
        <v>9</v>
      </c>
      <c r="E4" s="1">
        <v>20</v>
      </c>
      <c r="F4" s="2">
        <v>46001</v>
      </c>
    </row>
    <row r="5" spans="1:6" ht="15.75" x14ac:dyDescent="0.25">
      <c r="A5" s="1">
        <v>4</v>
      </c>
      <c r="B5" s="1" t="s">
        <v>11</v>
      </c>
      <c r="C5" s="1">
        <v>20</v>
      </c>
      <c r="D5" s="1" t="s">
        <v>7</v>
      </c>
      <c r="E5" s="1">
        <v>25</v>
      </c>
      <c r="F5" s="2">
        <v>46001</v>
      </c>
    </row>
    <row r="6" spans="1:6" ht="15.75" x14ac:dyDescent="0.25">
      <c r="A6" s="1">
        <v>5</v>
      </c>
      <c r="B6" s="1" t="s">
        <v>12</v>
      </c>
      <c r="C6" s="1">
        <v>20</v>
      </c>
      <c r="D6" s="1" t="s">
        <v>13</v>
      </c>
      <c r="E6" s="1">
        <v>50</v>
      </c>
      <c r="F6" s="2">
        <v>46001</v>
      </c>
    </row>
    <row r="7" spans="1:6" ht="15.75" x14ac:dyDescent="0.25">
      <c r="A7" s="1">
        <v>6</v>
      </c>
      <c r="B7" s="1" t="s">
        <v>17</v>
      </c>
      <c r="C7" s="1">
        <v>20</v>
      </c>
      <c r="D7" s="1" t="s">
        <v>18</v>
      </c>
      <c r="E7" s="1">
        <v>299</v>
      </c>
      <c r="F7" s="2">
        <v>46001</v>
      </c>
    </row>
    <row r="8" spans="1:6" ht="15.75" x14ac:dyDescent="0.25">
      <c r="A8" s="1">
        <v>7</v>
      </c>
      <c r="B8" s="1" t="s">
        <v>20</v>
      </c>
      <c r="C8" s="1">
        <v>15</v>
      </c>
      <c r="D8" s="1" t="s">
        <v>7</v>
      </c>
      <c r="E8" s="1">
        <v>50</v>
      </c>
      <c r="F8" s="2">
        <v>45636</v>
      </c>
    </row>
    <row r="9" spans="1:6" ht="15.75" x14ac:dyDescent="0.25">
      <c r="A9" s="1">
        <v>8</v>
      </c>
      <c r="B9" s="1" t="s">
        <v>25</v>
      </c>
      <c r="C9" s="1">
        <v>25</v>
      </c>
      <c r="D9" s="1" t="s">
        <v>9</v>
      </c>
      <c r="E9" s="1">
        <v>15</v>
      </c>
      <c r="F9" s="2">
        <v>45636</v>
      </c>
    </row>
    <row r="10" spans="1:6" ht="15.75" x14ac:dyDescent="0.25">
      <c r="A10" s="1">
        <v>9</v>
      </c>
      <c r="B10" s="1" t="s">
        <v>26</v>
      </c>
      <c r="C10" s="1">
        <v>40</v>
      </c>
      <c r="D10" s="1" t="s">
        <v>7</v>
      </c>
      <c r="E10" s="1">
        <v>40</v>
      </c>
      <c r="F10" s="2">
        <v>45636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EC8B0C-3DC4-4972-BE78-6BC91D2DA0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Reports</vt:lpstr>
      <vt:lpstr>Pivot</vt:lpstr>
      <vt:lpstr>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Zesar Jen Bejona</dc:creator>
  <cp:lastModifiedBy>Zesar Jen Bejona</cp:lastModifiedBy>
  <dcterms:created xsi:type="dcterms:W3CDTF">2025-12-10T12:20:47Z</dcterms:created>
  <dcterms:modified xsi:type="dcterms:W3CDTF">2025-12-10T13:45:40Z</dcterms:modified>
</cp:coreProperties>
</file>